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stPython\user_manage\"/>
    </mc:Choice>
  </mc:AlternateContent>
  <xr:revisionPtr revIDLastSave="0" documentId="13_ncr:1_{0A2B7832-433A-4D2C-8009-18F5BA64E6AF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曲线" sheetId="3" r:id="rId5"/>
    <sheet name="运行数据" sheetId="15" r:id="rId6"/>
    <sheet name="计算结果" sheetId="17" r:id="rId7"/>
    <sheet name="Sheet6" sheetId="10" r:id="rId8"/>
    <sheet name="计算结果 (2)" sheetId="16" r:id="rId9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5" l="1"/>
  <c r="F4" i="15"/>
  <c r="F5" i="15"/>
  <c r="F2" i="15"/>
  <c r="A3" i="15"/>
  <c r="B3" i="15" s="1"/>
  <c r="A4" i="15"/>
  <c r="B4" i="15" s="1"/>
  <c r="A5" i="15"/>
  <c r="B5" i="15" s="1"/>
  <c r="A2" i="15"/>
  <c r="B2" i="15" s="1"/>
  <c r="A18" i="4"/>
  <c r="D3" i="15" s="1"/>
  <c r="E3" i="15" s="1"/>
  <c r="J17" i="12"/>
  <c r="J18" i="12"/>
  <c r="J19" i="12"/>
  <c r="J16" i="12"/>
  <c r="I17" i="12"/>
  <c r="I18" i="12"/>
  <c r="I19" i="12"/>
  <c r="I16" i="12"/>
  <c r="B59" i="3"/>
  <c r="B29" i="3"/>
  <c r="D2" i="15" l="1"/>
  <c r="E2" i="15" s="1"/>
  <c r="D5" i="15"/>
  <c r="E5" i="15" s="1"/>
  <c r="D4" i="15"/>
  <c r="E4" i="15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C29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<sst xmlns="http://schemas.openxmlformats.org/spreadsheetml/2006/main" count="547" uniqueCount="258">
  <si>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</si>
  <si>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</si>
  <si>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</si>
  <si>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</si>
  <si>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</si>
  <si>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</si>
  <si>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</si>
  <si>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</si>
  <si>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</si>
  <si>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</si>
  <si>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</si>
  <si>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</si>
  <si>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</si>
  <si>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</si>
  <si>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</si>
  <si>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</si>
  <si>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</si>
  <si>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</si>
  <si>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</si>
  <si>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</si>
  <si>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</si>
  <si>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</si>
  <si>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</si>
  <si>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</si>
  <si>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</si>
  <si>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</si>
  <si>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</si>
  <si>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</si>
  <si>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</si>
  <si>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</si>
  <si>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</si>
  <si>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</si>
  <si>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</si>
  <si>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</si>
  <si>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</si>
  <si>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</si>
  <si>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</si>
  <si>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</si>
  <si>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</si>
  <si>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</si>
  <si>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</si>
  <si>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</si>
  <si>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</si>
  <si>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</si>
  <si>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</si>
  <si>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</si>
  <si>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</si>
  <si>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</si>
  <si>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</si>
  <si>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</si>
  <si>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</si>
  <si>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</si>
  <si>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</si>
  <si>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</si>
  <si>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</si>
  <si>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</si>
  <si>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</si>
  <si>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</si>
  <si>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</si>
  <si>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</si>
  <si>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</si>
  <si>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</si>
  <si>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</si>
  <si>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</si>
  <si>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</si>
  <si>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</si>
  <si>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</si>
  <si>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</si>
  <si>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</si>
  <si>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</si>
  <si>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</si>
  <si>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</si>
  <si>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</si>
  <si>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</si>
  <si>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</si>
  <si>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</si>
  <si>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</si>
  <si>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</si>
  <si>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</si>
  <si>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</si>
  <si>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</si>
  <si>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</si>
  <si>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</si>
  <si>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</si>
  <si>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</si>
  <si>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</si>
  <si>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</si>
  <si>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</si>
  <si>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</si>
  <si>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</si>
  <si>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</si>
  <si>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</si>
  <si>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</si>
  <si>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</si>
  <si>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</si>
  <si>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</si>
  <si>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</si>
  <si>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</si>
  <si>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</si>
  <si>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</si>
  <si>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</si>
  <si>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</si>
  <si>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</si>
  <si>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</si>
  <si>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</si>
  <si>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</si>
  <si>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</si>
  <si>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</si>
  <si>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</si>
  <si>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</si>
  <si>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</si>
  <si>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</si>
  <si>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</si>
  <si>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</si>
  <si>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</si>
  <si>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</si>
  <si>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</si>
  <si>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</si>
  <si>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</si>
  <si>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</si>
  <si>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</si>
  <si>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</si>
  <si>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</si>
  <si>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</si>
  <si>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</si>
  <si>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</si>
  <si>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</si>
  <si>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</si>
  <si>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</si>
  <si>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</si>
  <si>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</si>
  <si>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</si>
  <si>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</si>
  <si>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</si>
  <si>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</si>
  <si>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</si>
  <si>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</si>
  <si>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</si>
  <si>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</si>
  <si>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</si>
  <si>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</si>
  <si>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</si>
  <si>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</si>
  <si>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</si>
  <si>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</si>
  <si>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</si>
  <si>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</si>
  <si>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</si>
  <si>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</si>
  <si>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</si>
  <si>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</si>
  <si>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</si>
  <si>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</si>
  <si>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</si>
  <si>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</si>
  <si>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</si>
  <si>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</si>
  <si>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</si>
  <si>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</si>
  <si>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</si>
  <si>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</si>
  <si>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</si>
  <si>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</si>
  <si>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</si>
  <si>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</si>
  <si>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</si>
  <si>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</si>
  <si>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</si>
  <si>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</si>
  <si>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</si>
  <si>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</si>
  <si>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</si>
  <si>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</si>
  <si>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</si>
  <si>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</si>
  <si>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</si>
  <si>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</si>
  <si>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</si>
  <si>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</si>
  <si>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</si>
  <si>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</si>
  <si>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</si>
  <si>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</si>
  <si>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</si>
  <si>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</si>
  <si>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</si>
  <si>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</si>
  <si>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</si>
  <si>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</si>
  <si>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</si>
  <si>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</si>
  <si>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</si>
  <si>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</si>
  <si>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</si>
  <si>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</si>
  <si>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</si>
  <si>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</si>
  <si>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</si>
  <si>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</si>
  <si>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</si>
  <si>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</si>
  <si>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</si>
  <si>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</si>
  <si>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</si>
  <si>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</si>
  <si>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</si>
  <si>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</si>
  <si>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</si>
  <si>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</si>
  <si>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</si>
  <si>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</si>
  <si>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</si>
  <si>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</si>
  <si>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</si>
  <si>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</si>
  <si>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</si>
  <si>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</si>
  <si>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</si>
  <si>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</si>
  <si>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</si>
  <si>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</si>
  <si>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</si>
  <si>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</si>
  <si>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</si>
  <si>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</si>
  <si>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</si>
  <si>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</si>
  <si>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</si>
  <si>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</si>
  <si>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</si>
  <si>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</si>
  <si>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</si>
  <si>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</si>
  <si>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</si>
  <si>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</si>
  <si>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</si>
  <si>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</si>
  <si>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</si>
  <si>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</si>
  <si>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</si>
  <si>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</si>
  <si>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</si>
  <si>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</si>
  <si>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</si>
  <si>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</si>
  <si>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</si>
  <si>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</si>
  <si>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</si>
  <si>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</si>
  <si>
    <t>有功占比</t>
    <phoneticPr fontId="1" type="noConversion"/>
  </si>
  <si>
    <t>无功占比</t>
    <phoneticPr fontId="1" type="noConversion"/>
  </si>
  <si>
    <t>变压器总容量</t>
    <phoneticPr fontId="3" type="noConversion"/>
  </si>
  <si>
    <t>曲线名称</t>
    <phoneticPr fontId="1" type="noConversion"/>
  </si>
  <si>
    <t>总负荷曲线</t>
    <phoneticPr fontId="3" type="noConversion"/>
  </si>
  <si>
    <t>首端电压曲线</t>
    <phoneticPr fontId="3" type="noConversion"/>
  </si>
  <si>
    <t>是否公变</t>
    <phoneticPr fontId="1" type="noConversion"/>
  </si>
  <si>
    <t>是</t>
    <phoneticPr fontId="3" type="noConversion"/>
  </si>
  <si>
    <t>t21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</si>
</sst>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76" fontId="9" fillId="0" borderId="0" xfId="0" applyNumberFormat="1" applyFont="1">
      <alignment vertical="center"/>
    </xf>
    <xf numFmtId="21" fontId="9" fillId="0" borderId="0" xfId="0" applyNumberFormat="1" applyFont="1">
      <alignment vertical="center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曲线!$C$31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曲线!$B$32:$B$55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曲线!$C$32:$C$55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30</xdr:row>
      <xdr:rowOff>15240</xdr:rowOff>
    </xdr:from>
    <xdr:to>
      <xdr:col>11</xdr:col>
      <xdr:colOff>641350</xdr:colOff>
      <xdr:row>44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workbookViewId="0">
      <selection activeCell="F27" sqref="F27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243</v>
      </c>
      <c r="L19" t="s">
        <v>244</v>
      </c>
      <c r="M19" t="s">
        <v>127</v>
      </c>
      <c r="N19" t="s">
        <v>245</v>
      </c>
      <c r="O19" t="s">
        <v>246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2" sqref="I32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A13" sqref="A13"/>
    </sheetView>
  </sheetViews>
  <sheetFormatPr defaultColWidth="9" defaultRowHeight="13.5" x14ac:dyDescent="0.15"/>
  <cols>
    <col min="1" max="1" width="12.125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248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248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248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248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248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247</v>
      </c>
      <c r="E11" s="3" t="s">
        <v>74</v>
      </c>
      <c r="F11" s="3" t="s">
        <v>255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  <c r="F14" s="4" t="s">
        <v>256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ht="28.5" customHeight="1" x14ac:dyDescent="0.15">
      <c r="A17" s="2" t="s">
        <v>251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>
        <f>SUM(E12:E15)</f>
        <v>510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71"/>
  <sheetViews>
    <sheetView workbookViewId="0">
      <selection activeCell="D31" sqref="D31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253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ht="37.5" x14ac:dyDescent="0.15">
      <c r="A28" s="7" t="s">
        <v>208</v>
      </c>
      <c r="B28" s="7" t="s">
        <v>212</v>
      </c>
      <c r="C28" s="7" t="s">
        <v>213</v>
      </c>
      <c r="I28"/>
      <c r="J28"/>
      <c r="S28"/>
      <c r="T28"/>
    </row>
    <row r="29" spans="1:20" x14ac:dyDescent="0.15">
      <c r="A29" s="25" t="s">
        <v>209</v>
      </c>
      <c r="B29" s="8" t="str">
        <f>"(" &amp; JoinRange(C2:C25, ",") &amp; ")"</f>
        <v>(200,220,240,260,280,300,320,340,360,345,330,315,300,285,270,255,240,225,210,195,180,200,215,230)</v>
      </c>
      <c r="C29" s="8" t="str">
        <f>"(" &amp; JoinRange(D2:D25, ",") &amp; ")"</f>
        <v>(65.26,71.786,78.312,84.838,91.364,97.89,104.416,110.942,117.468,112.5735,107.679,102.7845,97.89,92.9955,88.101,83.2065,78.312,73.4175,68.523,63.6285,58.734,65.26,70.1545,75.049)</v>
      </c>
      <c r="I29"/>
      <c r="J29"/>
      <c r="S29"/>
      <c r="T29"/>
    </row>
    <row r="30" spans="1:20" x14ac:dyDescent="0.15">
      <c r="D30" s="16"/>
      <c r="I30"/>
      <c r="J30"/>
      <c r="S30"/>
      <c r="T30"/>
    </row>
    <row r="31" spans="1:20" ht="37.5" x14ac:dyDescent="0.15">
      <c r="A31" s="7" t="s">
        <v>254</v>
      </c>
      <c r="B31" s="7" t="s">
        <v>1</v>
      </c>
      <c r="C31" s="7" t="s">
        <v>211</v>
      </c>
      <c r="I31"/>
      <c r="J31"/>
      <c r="S31"/>
      <c r="T31"/>
    </row>
    <row r="32" spans="1:20" x14ac:dyDescent="0.15">
      <c r="A32" s="25" t="s">
        <v>210</v>
      </c>
      <c r="B32" s="11">
        <v>0</v>
      </c>
      <c r="C32" s="8">
        <v>10.1</v>
      </c>
      <c r="I32"/>
      <c r="J32"/>
      <c r="S32"/>
      <c r="T32"/>
    </row>
    <row r="33" spans="1:20" x14ac:dyDescent="0.15">
      <c r="A33" s="11"/>
      <c r="B33" s="11">
        <v>4.1666666666666664E-2</v>
      </c>
      <c r="C33" s="8">
        <v>10.199999999999999</v>
      </c>
      <c r="I33"/>
      <c r="J33"/>
      <c r="S33"/>
      <c r="T33"/>
    </row>
    <row r="34" spans="1:20" x14ac:dyDescent="0.15">
      <c r="A34" s="11"/>
      <c r="B34" s="11">
        <v>8.3333333333333329E-2</v>
      </c>
      <c r="C34" s="8">
        <v>10.3</v>
      </c>
      <c r="I34"/>
      <c r="J34"/>
      <c r="S34"/>
      <c r="T34"/>
    </row>
    <row r="35" spans="1:20" x14ac:dyDescent="0.15">
      <c r="A35" s="11"/>
      <c r="B35" s="11">
        <v>0.125</v>
      </c>
      <c r="C35" s="8">
        <v>10.4</v>
      </c>
      <c r="I35"/>
      <c r="J35"/>
      <c r="S35"/>
      <c r="T35"/>
    </row>
    <row r="36" spans="1:20" x14ac:dyDescent="0.15">
      <c r="A36" s="11"/>
      <c r="B36" s="11">
        <v>0.16666666666666666</v>
      </c>
      <c r="C36" s="8">
        <v>10.5</v>
      </c>
      <c r="I36"/>
      <c r="J36"/>
      <c r="S36"/>
      <c r="T36"/>
    </row>
    <row r="37" spans="1:20" x14ac:dyDescent="0.15">
      <c r="A37" s="11"/>
      <c r="B37" s="11">
        <v>0.20833333333333334</v>
      </c>
      <c r="C37" s="8">
        <v>10.6</v>
      </c>
      <c r="I37"/>
      <c r="J37"/>
      <c r="S37"/>
      <c r="T37"/>
    </row>
    <row r="38" spans="1:20" x14ac:dyDescent="0.15">
      <c r="A38" s="11"/>
      <c r="B38" s="11">
        <v>0.25</v>
      </c>
      <c r="C38" s="8">
        <v>10.7</v>
      </c>
      <c r="I38"/>
      <c r="J38"/>
      <c r="S38"/>
      <c r="T38"/>
    </row>
    <row r="39" spans="1:20" x14ac:dyDescent="0.15">
      <c r="A39" s="11"/>
      <c r="B39" s="11">
        <v>0.29166666666666669</v>
      </c>
      <c r="C39" s="8">
        <v>10.8</v>
      </c>
      <c r="I39"/>
      <c r="J39"/>
      <c r="S39"/>
      <c r="T39"/>
    </row>
    <row r="40" spans="1:20" x14ac:dyDescent="0.15">
      <c r="A40" s="11"/>
      <c r="B40" s="11">
        <v>0.33333333333333331</v>
      </c>
      <c r="C40" s="8">
        <v>10.9</v>
      </c>
      <c r="I40"/>
      <c r="J40"/>
      <c r="S40"/>
      <c r="T40"/>
    </row>
    <row r="41" spans="1:20" x14ac:dyDescent="0.15">
      <c r="A41" s="11"/>
      <c r="B41" s="11">
        <v>0.375</v>
      </c>
      <c r="C41" s="8">
        <v>10.8</v>
      </c>
      <c r="I41"/>
      <c r="J41"/>
      <c r="S41"/>
      <c r="T41"/>
    </row>
    <row r="42" spans="1:20" x14ac:dyDescent="0.15">
      <c r="A42" s="11"/>
      <c r="B42" s="11">
        <v>0.41666666666666669</v>
      </c>
      <c r="C42" s="8">
        <v>10.7</v>
      </c>
      <c r="I42"/>
      <c r="J42"/>
      <c r="S42"/>
      <c r="T42"/>
    </row>
    <row r="43" spans="1:20" x14ac:dyDescent="0.15">
      <c r="A43" s="11"/>
      <c r="B43" s="11">
        <v>0.45833333333333331</v>
      </c>
      <c r="C43" s="8">
        <v>10.6</v>
      </c>
      <c r="I43"/>
      <c r="J43"/>
      <c r="S43"/>
      <c r="T43"/>
    </row>
    <row r="44" spans="1:20" x14ac:dyDescent="0.15">
      <c r="A44" s="11"/>
      <c r="B44" s="11">
        <v>0.5</v>
      </c>
      <c r="C44" s="8">
        <v>10.5</v>
      </c>
      <c r="I44"/>
      <c r="J44"/>
      <c r="S44"/>
      <c r="T44"/>
    </row>
    <row r="45" spans="1:20" x14ac:dyDescent="0.15">
      <c r="A45" s="11"/>
      <c r="B45" s="11">
        <v>0.54166666666666663</v>
      </c>
      <c r="C45" s="8">
        <v>10.4</v>
      </c>
      <c r="I45"/>
      <c r="J45"/>
      <c r="S45"/>
      <c r="T45"/>
    </row>
    <row r="46" spans="1:20" x14ac:dyDescent="0.15">
      <c r="A46" s="11"/>
      <c r="B46" s="11">
        <v>0.58333333333333337</v>
      </c>
      <c r="C46" s="8">
        <v>10.3</v>
      </c>
      <c r="I46"/>
      <c r="J46"/>
      <c r="S46"/>
      <c r="T46"/>
    </row>
    <row r="47" spans="1:20" x14ac:dyDescent="0.15">
      <c r="A47" s="11"/>
      <c r="B47" s="11">
        <v>0.625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0.66666666666666663</v>
      </c>
      <c r="C48" s="8">
        <v>10.1</v>
      </c>
      <c r="I48"/>
      <c r="J48"/>
      <c r="S48"/>
      <c r="T48"/>
    </row>
    <row r="49" spans="1:20" x14ac:dyDescent="0.15">
      <c r="A49" s="11"/>
      <c r="B49" s="11">
        <v>0.70833333333333337</v>
      </c>
      <c r="C49" s="8">
        <v>10.199999999999999</v>
      </c>
      <c r="I49"/>
      <c r="J49"/>
      <c r="S49"/>
      <c r="T49"/>
    </row>
    <row r="50" spans="1:20" x14ac:dyDescent="0.15">
      <c r="A50" s="11"/>
      <c r="B50" s="11">
        <v>0.75</v>
      </c>
      <c r="C50" s="8">
        <v>10.3</v>
      </c>
      <c r="I50"/>
      <c r="J50"/>
      <c r="S50"/>
      <c r="T50"/>
    </row>
    <row r="51" spans="1:20" x14ac:dyDescent="0.15">
      <c r="A51" s="11"/>
      <c r="B51" s="11">
        <v>0.79166666666666663</v>
      </c>
      <c r="C51" s="8">
        <v>10.4</v>
      </c>
      <c r="I51"/>
      <c r="J51"/>
      <c r="S51"/>
      <c r="T51"/>
    </row>
    <row r="52" spans="1:20" x14ac:dyDescent="0.15">
      <c r="A52" s="11"/>
      <c r="B52" s="11">
        <v>0.83333333333333337</v>
      </c>
      <c r="C52" s="8">
        <v>10.5</v>
      </c>
      <c r="I52"/>
      <c r="J52"/>
      <c r="S52"/>
      <c r="T52"/>
    </row>
    <row r="53" spans="1:20" x14ac:dyDescent="0.15">
      <c r="A53" s="11"/>
      <c r="B53" s="11">
        <v>0.875</v>
      </c>
      <c r="C53" s="8">
        <v>10.6</v>
      </c>
      <c r="I53"/>
      <c r="J53"/>
      <c r="S53"/>
      <c r="T53"/>
    </row>
    <row r="54" spans="1:20" x14ac:dyDescent="0.15">
      <c r="A54" s="11"/>
      <c r="B54" s="11">
        <v>0.91666666666666663</v>
      </c>
      <c r="C54" s="8">
        <v>10.7</v>
      </c>
      <c r="I54"/>
      <c r="J54"/>
      <c r="S54"/>
      <c r="T54"/>
    </row>
    <row r="55" spans="1:20" x14ac:dyDescent="0.15">
      <c r="A55" s="11"/>
      <c r="B55" s="11">
        <v>0.95833333333333337</v>
      </c>
      <c r="C55" s="8">
        <v>10.8</v>
      </c>
      <c r="I55"/>
      <c r="J55"/>
      <c r="S55"/>
      <c r="T55"/>
    </row>
    <row r="56" spans="1:20" x14ac:dyDescent="0.15">
      <c r="A56" s="12"/>
      <c r="B56" s="12"/>
      <c r="I56"/>
      <c r="J56"/>
      <c r="S56"/>
      <c r="T56"/>
    </row>
    <row r="57" spans="1:20" x14ac:dyDescent="0.15">
      <c r="A57" s="12"/>
      <c r="B57" s="12"/>
      <c r="I57"/>
      <c r="J57"/>
      <c r="S57"/>
      <c r="T57"/>
    </row>
    <row r="58" spans="1:20" ht="37.5" x14ac:dyDescent="0.15">
      <c r="A58" s="7" t="s">
        <v>207</v>
      </c>
      <c r="B58" s="7" t="s">
        <v>211</v>
      </c>
      <c r="I58"/>
      <c r="J58"/>
      <c r="S58"/>
      <c r="T58"/>
    </row>
    <row r="59" spans="1:20" x14ac:dyDescent="0.15">
      <c r="A59" s="25" t="s">
        <v>210</v>
      </c>
      <c r="B59" s="8" t="str">
        <f>"(" &amp; JoinRange(C32:C55, ",") &amp; ")"</f>
        <v>(10.1,10.2,10.3,10.4,10.5,10.6,10.7,10.8,10.9,10.8,10.7,10.6,10.5,10.4,10.3,10.2,10.1,10.2,10.3,10.4,10.5,10.6,10.7,10.8)</v>
      </c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A61" s="8" t="s">
        <v>5</v>
      </c>
      <c r="B61" s="8"/>
      <c r="C61" s="8"/>
      <c r="D61" s="8"/>
      <c r="E61" s="8"/>
      <c r="F61" s="8"/>
      <c r="I61"/>
      <c r="J61"/>
      <c r="S61"/>
      <c r="T61"/>
    </row>
    <row r="62" spans="1:20" x14ac:dyDescent="0.15">
      <c r="A62" s="8" t="s">
        <v>1</v>
      </c>
      <c r="B62" s="8" t="s">
        <v>2</v>
      </c>
      <c r="C62" s="4" t="s">
        <v>6</v>
      </c>
      <c r="D62" s="4" t="s">
        <v>7</v>
      </c>
      <c r="E62" s="4" t="s">
        <v>8</v>
      </c>
      <c r="F62" s="4" t="s">
        <v>9</v>
      </c>
      <c r="G62" s="4"/>
      <c r="I62"/>
      <c r="J62"/>
      <c r="S62"/>
      <c r="T62"/>
    </row>
    <row r="63" spans="1:20" x14ac:dyDescent="0.15">
      <c r="A63" s="11" t="s">
        <v>3</v>
      </c>
      <c r="B63" s="8">
        <v>6700</v>
      </c>
      <c r="C63" s="8">
        <v>700</v>
      </c>
      <c r="D63" s="8">
        <v>1400</v>
      </c>
      <c r="E63" s="8">
        <v>2100</v>
      </c>
      <c r="F63" s="8">
        <v>2100</v>
      </c>
      <c r="G63" s="4"/>
      <c r="I63"/>
      <c r="J63"/>
      <c r="S63"/>
      <c r="T63"/>
    </row>
    <row r="64" spans="1:20" x14ac:dyDescent="0.15">
      <c r="A64" s="12"/>
      <c r="B64" s="12"/>
      <c r="H64" s="4"/>
      <c r="I64"/>
      <c r="J64"/>
      <c r="S64"/>
      <c r="T64"/>
    </row>
    <row r="65" spans="1:20" x14ac:dyDescent="0.15">
      <c r="A65" s="12"/>
      <c r="B65" s="12"/>
      <c r="H65" s="4"/>
      <c r="I65"/>
      <c r="J65"/>
      <c r="S65"/>
      <c r="T65"/>
    </row>
    <row r="66" spans="1:20" x14ac:dyDescent="0.15">
      <c r="A66" s="12"/>
      <c r="B66" s="12"/>
      <c r="I66"/>
      <c r="J66"/>
      <c r="S66"/>
      <c r="T66"/>
    </row>
    <row r="67" spans="1:20" x14ac:dyDescent="0.15">
      <c r="I67"/>
      <c r="J67"/>
      <c r="S67"/>
      <c r="T67"/>
    </row>
    <row r="68" spans="1:20" x14ac:dyDescent="0.15">
      <c r="A68" s="8" t="s">
        <v>4</v>
      </c>
      <c r="B68" s="8"/>
      <c r="C68" s="8"/>
      <c r="D68" s="8"/>
      <c r="E68" s="8"/>
      <c r="F68" s="8"/>
      <c r="I68"/>
      <c r="J68"/>
      <c r="S68"/>
      <c r="T68"/>
    </row>
    <row r="69" spans="1:20" x14ac:dyDescent="0.15">
      <c r="A69" s="8" t="s">
        <v>1</v>
      </c>
      <c r="B69" s="8" t="s">
        <v>2</v>
      </c>
      <c r="C69" s="4" t="s">
        <v>6</v>
      </c>
      <c r="D69" s="4" t="s">
        <v>7</v>
      </c>
      <c r="E69" s="4" t="s">
        <v>8</v>
      </c>
      <c r="F69" s="4" t="s">
        <v>9</v>
      </c>
      <c r="I69"/>
      <c r="J69"/>
      <c r="S69"/>
      <c r="T69"/>
    </row>
    <row r="70" spans="1:20" x14ac:dyDescent="0.15">
      <c r="A70" s="11" t="s">
        <v>3</v>
      </c>
      <c r="B70" s="8">
        <v>2500</v>
      </c>
      <c r="C70" s="8">
        <v>233</v>
      </c>
      <c r="D70" s="8">
        <v>1400</v>
      </c>
      <c r="E70" s="8">
        <v>700</v>
      </c>
      <c r="F70" s="8">
        <v>700</v>
      </c>
      <c r="I70"/>
      <c r="J70"/>
      <c r="S70"/>
      <c r="T70"/>
    </row>
    <row r="71" spans="1:20" x14ac:dyDescent="0.15">
      <c r="I71"/>
      <c r="J71"/>
      <c r="P71" s="4"/>
      <c r="Q71" s="4"/>
      <c r="S71"/>
      <c r="T71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F5"/>
  <sheetViews>
    <sheetView workbookViewId="0">
      <selection activeCell="H17" sqref="H17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  <col min="5" max="5" width="14.625" customWidth="1"/>
    <col min="6" max="6" width="12.5" customWidth="1"/>
  </cols>
  <sheetData>
    <row r="1" spans="1:6" ht="32.25" customHeight="1" x14ac:dyDescent="0.15">
      <c r="A1" s="2" t="s">
        <v>241</v>
      </c>
      <c r="B1" s="2" t="s">
        <v>242</v>
      </c>
      <c r="C1" s="3" t="s">
        <v>192</v>
      </c>
      <c r="D1" s="3" t="s">
        <v>249</v>
      </c>
      <c r="E1" s="3" t="s">
        <v>250</v>
      </c>
      <c r="F1" s="3" t="s">
        <v>252</v>
      </c>
    </row>
    <row r="2" spans="1:6" x14ac:dyDescent="0.15">
      <c r="A2" s="4" t="str">
        <f>配电线路!A12</f>
        <v>T1</v>
      </c>
      <c r="B2" s="4" t="str">
        <f>A2</f>
        <v>T1</v>
      </c>
      <c r="C2" s="4">
        <v>0.4</v>
      </c>
      <c r="D2" s="28">
        <f>配电线路!E12/配电线路!$A$18</f>
        <v>9.8039215686274508E-2</v>
      </c>
      <c r="E2" s="28">
        <f>D2</f>
        <v>9.8039215686274508E-2</v>
      </c>
      <c r="F2" s="29" t="str">
        <f>曲线!$A$2</f>
        <v>Sum</v>
      </c>
    </row>
    <row r="3" spans="1:6" x14ac:dyDescent="0.15">
      <c r="A3" s="4" t="str">
        <f>配电线路!A13</f>
        <v>T21</v>
      </c>
      <c r="B3" s="4" t="str">
        <f t="shared" ref="B3:B5" si="0">A3</f>
        <v>T21</v>
      </c>
      <c r="C3" s="4">
        <v>0.4</v>
      </c>
      <c r="D3" s="28">
        <f>配电线路!E13/配电线路!$A$18</f>
        <v>0.31372549019607843</v>
      </c>
      <c r="E3" s="28">
        <f t="shared" ref="E3:E5" si="1">D3</f>
        <v>0.31372549019607843</v>
      </c>
      <c r="F3" s="29" t="str">
        <f>曲线!$A$2</f>
        <v>Sum</v>
      </c>
    </row>
    <row r="4" spans="1:6" x14ac:dyDescent="0.15">
      <c r="A4" s="4" t="str">
        <f>配电线路!A14</f>
        <v>T22</v>
      </c>
      <c r="B4" s="4" t="str">
        <f t="shared" si="0"/>
        <v>T22</v>
      </c>
      <c r="C4" s="4">
        <v>0.4</v>
      </c>
      <c r="D4" s="28">
        <f>配电线路!E14/配电线路!$A$18</f>
        <v>0.39215686274509803</v>
      </c>
      <c r="E4" s="28">
        <f t="shared" si="1"/>
        <v>0.39215686274509803</v>
      </c>
      <c r="F4" s="29" t="str">
        <f>曲线!$A$2</f>
        <v>Sum</v>
      </c>
    </row>
    <row r="5" spans="1:6" x14ac:dyDescent="0.15">
      <c r="A5" s="4" t="str">
        <f>配电线路!A15</f>
        <v>T3</v>
      </c>
      <c r="B5" s="4" t="str">
        <f t="shared" si="0"/>
        <v>T3</v>
      </c>
      <c r="C5" s="4">
        <v>0.4</v>
      </c>
      <c r="D5" s="28">
        <f>配电线路!E15/配电线路!$A$18</f>
        <v>0.19607843137254902</v>
      </c>
      <c r="E5" s="28">
        <f t="shared" si="1"/>
        <v>0.19607843137254902</v>
      </c>
      <c r="F5" s="29" t="str">
        <f>曲线!$A$2</f>
        <v>Sum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7CC9-08C7-454E-B2A9-F5387436A28D}">
  <sheetPr codeName="Sheet6"/>
  <dimension ref="A1:E17"/>
  <sheetViews>
    <sheetView tabSelected="1" workbookViewId="0">
      <selection activeCell="H14" sqref="H14"/>
    </sheetView>
  </sheetViews>
  <sheetFormatPr defaultRowHeight="13.5" x14ac:dyDescent="0.15"/>
  <sheetData>
    <row r="1" spans="1:5" x14ac:dyDescent="0.15">
      <c r="A1" t="s">
        <v>81</v>
      </c>
      <c r="B1" t="s">
        <v>82</v>
      </c>
      <c r="C1" t="s">
        <v>83</v>
      </c>
    </row>
    <row r="2" spans="1:5" s="20" customFormat="1" x14ac:dyDescent="0.15">
      <c r="A2" s="20">
        <v>6268.8114489703003</v>
      </c>
      <c r="B2" s="20">
        <v>3748.69477670175</v>
      </c>
      <c r="C2" s="20">
        <v>0</v>
      </c>
    </row>
    <row r="3" spans="1:5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5" s="20" customFormat="1" x14ac:dyDescent="0.15">
      <c r="A4" s="20">
        <v>69.103607840807797</v>
      </c>
      <c r="B4" s="20">
        <v>50.7205875983772</v>
      </c>
      <c r="C4" s="20">
        <v>18.3830202424306</v>
      </c>
      <c r="D4" s="20">
        <v>13.926424531220899</v>
      </c>
      <c r="E4" s="20">
        <v>55.177183309586901</v>
      </c>
    </row>
    <row r="7" spans="1:5" x14ac:dyDescent="0.15">
      <c r="A7" t="s">
        <v>96</v>
      </c>
      <c r="B7" t="s">
        <v>84</v>
      </c>
    </row>
    <row r="8" spans="1:5" x14ac:dyDescent="0.15">
      <c r="A8" t="s">
        <v>89</v>
      </c>
      <c r="B8" s="20">
        <v>6.8198867572622603</v>
      </c>
    </row>
    <row r="9" spans="1:5" x14ac:dyDescent="0.15">
      <c r="A9" t="s">
        <v>90</v>
      </c>
      <c r="B9" s="20">
        <v>4.8510104048648399</v>
      </c>
    </row>
    <row r="10" spans="1:5" x14ac:dyDescent="0.15">
      <c r="A10" t="s">
        <v>91</v>
      </c>
      <c r="B10" s="20">
        <v>0.32859774643156497</v>
      </c>
    </row>
    <row r="11" spans="1:5" x14ac:dyDescent="0.15">
      <c r="A11" t="s">
        <v>92</v>
      </c>
      <c r="B11" s="20">
        <v>1.27263829518663</v>
      </c>
    </row>
    <row r="12" spans="1:5" x14ac:dyDescent="0.15">
      <c r="A12" t="s">
        <v>93</v>
      </c>
      <c r="B12" s="20">
        <v>0.65429132747565699</v>
      </c>
    </row>
    <row r="14" spans="1:5" x14ac:dyDescent="0.15">
      <c r="A14" t="s">
        <v>109</v>
      </c>
      <c r="B14" t="s">
        <v>84</v>
      </c>
      <c r="C14" t="s">
        <v>85</v>
      </c>
      <c r="D14" t="s">
        <v>86</v>
      </c>
    </row>
    <row r="15" spans="1:5" x14ac:dyDescent="0.15">
      <c r="A15" t="s">
        <v>94</v>
      </c>
      <c r="B15" s="20">
        <v>10.678981260246299</v>
      </c>
      <c r="C15" s="20">
        <v>7.04929135932099</v>
      </c>
      <c r="D15" s="20">
        <v>3.6296899009253201</v>
      </c>
    </row>
    <row r="16" spans="1:5" x14ac:dyDescent="0.15">
      <c r="A16" t="s">
        <v>257</v>
      </c>
      <c r="B16" s="20">
        <v>26.218956824794301</v>
      </c>
      <c r="C16" s="20">
        <v>17.660779976849401</v>
      </c>
      <c r="D16" s="20">
        <v>8.5581768479449298</v>
      </c>
    </row>
    <row r="17" spans="1:4" x14ac:dyDescent="0.15">
      <c r="A17" t="s">
        <v>95</v>
      </c>
      <c r="B17" s="20">
        <v>18.279245224546202</v>
      </c>
      <c r="C17" s="20">
        <v>12.0840917309859</v>
      </c>
      <c r="D17" s="20">
        <v>6.1951534935603298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EF41-1AD8-40C7-8DE5-75506A6F26EF}">
  <sheetPr codeName="Sheet9"/>
  <dimension ref="A1:F18"/>
  <sheetViews>
    <sheetView workbookViewId="0">
      <selection activeCell="A5" sqref="A5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主页</vt:lpstr>
      <vt:lpstr>OpenDSS规则库</vt:lpstr>
      <vt:lpstr>参数库</vt:lpstr>
      <vt:lpstr>配电线路</vt:lpstr>
      <vt:lpstr>曲线</vt:lpstr>
      <vt:lpstr>运行数据</vt:lpstr>
      <vt:lpstr>计算结果</vt:lpstr>
      <vt:lpstr>Sheet6</vt:lpstr>
      <vt:lpstr>计算结果 (2)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min sun</cp:lastModifiedBy>
  <dcterms:created xsi:type="dcterms:W3CDTF">2015-03-07T06:30:29Z</dcterms:created>
  <dcterms:modified xsi:type="dcterms:W3CDTF">2024-02-21T10:01:26Z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